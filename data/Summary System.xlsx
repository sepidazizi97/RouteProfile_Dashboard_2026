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pideh.azizi\Downloads\New folder (2)\"/>
    </mc:Choice>
  </mc:AlternateContent>
  <xr:revisionPtr revIDLastSave="0" documentId="8_{0AACA357-D2BF-4F7F-98C2-9B81F50251B7}" xr6:coauthVersionLast="47" xr6:coauthVersionMax="47" xr10:uidLastSave="{00000000-0000-0000-0000-000000000000}"/>
  <bookViews>
    <workbookView xWindow="-28920" yWindow="-120" windowWidth="29040" windowHeight="15720" xr2:uid="{EFC0E189-3942-4509-A362-16E144448741}"/>
  </bookViews>
  <sheets>
    <sheet name="Summary Sys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7" i="1"/>
  <c r="Y10" i="1"/>
  <c r="Y11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2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" i="1"/>
  <c r="V18" i="1"/>
  <c r="V2" i="1"/>
</calcChain>
</file>

<file path=xl/sharedStrings.xml><?xml version="1.0" encoding="utf-8"?>
<sst xmlns="http://schemas.openxmlformats.org/spreadsheetml/2006/main" count="25" uniqueCount="25">
  <si>
    <t>Routes</t>
  </si>
  <si>
    <t>TotalAvgDailyBoardings</t>
  </si>
  <si>
    <t>TotalBoarding</t>
  </si>
  <si>
    <t>TotalBoradingWeekday</t>
  </si>
  <si>
    <t>TotalBoardingSaturday</t>
  </si>
  <si>
    <t>TotalBoradingSunday</t>
  </si>
  <si>
    <t xml:space="preserve">TotalAverageDailyWeekdayBorading </t>
  </si>
  <si>
    <t xml:space="preserve">TotalAverageDailySaturdayBorading </t>
  </si>
  <si>
    <t xml:space="preserve">TotalAverageDailySundayBorading </t>
  </si>
  <si>
    <t>AvgMedianLoad</t>
  </si>
  <si>
    <t>AvgOnTime</t>
  </si>
  <si>
    <t>AvgLate</t>
  </si>
  <si>
    <t>TotalSeasonalRevenueMiles</t>
  </si>
  <si>
    <t>AverageDailyRevenueMilesWeekday</t>
  </si>
  <si>
    <t>AverageDailyRevenueMilesSaturday</t>
  </si>
  <si>
    <t>AverageDailyRevenueMilesSunday</t>
  </si>
  <si>
    <t>TotalTripCount</t>
  </si>
  <si>
    <t>TotalSeasonalRevenueHours</t>
  </si>
  <si>
    <t>AverageDailyRevenueHoursWeekday</t>
  </si>
  <si>
    <t>AverageDailyRevenueHoursSaturday</t>
  </si>
  <si>
    <t>AverageDailyRevenueHoursSunday</t>
  </si>
  <si>
    <t>RidershipPerRevHour</t>
  </si>
  <si>
    <t>WeekdayRidershipPerRevHour</t>
  </si>
  <si>
    <t>SaturdayRidershipPerRevHour</t>
  </si>
  <si>
    <t>SundayRidershipPerRevHour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</si>
</sst>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0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CE2F1-3ED6-421D-8635-75EB9DA375B2}">
  <dimension ref="A1:Y23"/>
  <sheetViews>
    <sheetView tabSelected="1" workbookViewId="0">
      <selection activeCell="D31" sqref="D31"/>
    </sheetView>
  </sheetViews>
  <sheetFormatPr defaultRowHeight="15" x14ac:dyDescent="0.25"/>
  <cols>
    <col min="2" max="2" width="22.28515625" bestFit="1" customWidth="1"/>
    <col min="3" max="3" width="13.5703125" bestFit="1" customWidth="1"/>
    <col min="4" max="4" width="21.7109375" bestFit="1" customWidth="1"/>
    <col min="5" max="5" width="21.5703125" bestFit="1" customWidth="1"/>
    <col min="6" max="6" width="20.140625" bestFit="1" customWidth="1"/>
    <col min="7" max="7" width="33.85546875" bestFit="1" customWidth="1"/>
    <col min="8" max="8" width="33.5703125" bestFit="1" customWidth="1"/>
    <col min="9" max="9" width="32.28515625" bestFit="1" customWidth="1"/>
    <col min="10" max="10" width="15" bestFit="1" customWidth="1"/>
    <col min="13" max="13" width="26.140625" bestFit="1" customWidth="1"/>
    <col min="15" max="15" width="32.7109375" bestFit="1" customWidth="1"/>
    <col min="16" max="16" width="31.42578125" bestFit="1" customWidth="1"/>
    <col min="18" max="18" width="26.7109375" bestFit="1" customWidth="1"/>
    <col min="19" max="19" width="33.42578125" bestFit="1" customWidth="1"/>
    <col min="20" max="20" width="33.28515625" bestFit="1" customWidth="1"/>
    <col min="21" max="21" width="32" bestFit="1" customWidth="1"/>
    <col min="22" max="22" width="19.85546875" bestFit="1" customWidth="1"/>
    <col min="23" max="23" width="28" bestFit="1" customWidth="1"/>
    <col min="24" max="24" width="27.85546875" bestFit="1" customWidth="1"/>
    <col min="25" max="25" width="26.5703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>
        <v>2972.2</v>
      </c>
      <c r="C2">
        <v>115303</v>
      </c>
      <c r="D2">
        <v>96721</v>
      </c>
      <c r="E2">
        <v>12489</v>
      </c>
      <c r="F2">
        <v>6093</v>
      </c>
      <c r="G2">
        <v>1540</v>
      </c>
      <c r="H2">
        <v>979</v>
      </c>
      <c r="I2">
        <v>460</v>
      </c>
      <c r="J2">
        <v>6.4</v>
      </c>
      <c r="K2" s="1">
        <v>0.80900000000000005</v>
      </c>
      <c r="L2" s="1">
        <v>0.14199999999999999</v>
      </c>
      <c r="M2" s="2">
        <v>137733.1</v>
      </c>
      <c r="N2" s="2">
        <v>1763.8</v>
      </c>
      <c r="O2" s="2">
        <v>1257.7</v>
      </c>
      <c r="P2">
        <v>607</v>
      </c>
      <c r="Q2">
        <v>9626</v>
      </c>
      <c r="R2">
        <v>7678.1</v>
      </c>
      <c r="S2">
        <v>98.2</v>
      </c>
      <c r="T2">
        <v>71.3</v>
      </c>
      <c r="U2">
        <v>33.6</v>
      </c>
      <c r="V2" s="3">
        <f>C2/R2</f>
        <v>15.01712663289095</v>
      </c>
      <c r="W2" s="3">
        <f>G2/S2</f>
        <v>15.682281059063136</v>
      </c>
      <c r="X2" s="3">
        <f>H2/T2</f>
        <v>13.730715287517532</v>
      </c>
      <c r="Y2" s="3">
        <f>I2/U2</f>
        <v>13.69047619047619</v>
      </c>
    </row>
    <row r="3" spans="1:25" x14ac:dyDescent="0.25">
      <c r="A3">
        <v>40</v>
      </c>
      <c r="B3">
        <v>1293.5</v>
      </c>
      <c r="C3">
        <v>45177</v>
      </c>
      <c r="D3">
        <v>35699</v>
      </c>
      <c r="E3">
        <v>4841</v>
      </c>
      <c r="F3">
        <v>4637</v>
      </c>
      <c r="G3">
        <v>562.1</v>
      </c>
      <c r="H3">
        <v>379.5</v>
      </c>
      <c r="I3">
        <v>351.9</v>
      </c>
      <c r="J3">
        <v>10.1</v>
      </c>
      <c r="K3" s="1">
        <v>0.88800000000000001</v>
      </c>
      <c r="L3" s="1">
        <v>4.3999999999999997E-2</v>
      </c>
      <c r="M3">
        <v>35375.9</v>
      </c>
      <c r="N3">
        <v>400.1</v>
      </c>
      <c r="O3">
        <v>428.6</v>
      </c>
      <c r="P3">
        <v>300</v>
      </c>
      <c r="Q3">
        <v>4952</v>
      </c>
      <c r="R3">
        <v>2451.6999999999998</v>
      </c>
      <c r="S3">
        <v>27.8</v>
      </c>
      <c r="T3">
        <v>29.3</v>
      </c>
      <c r="U3">
        <v>20.9</v>
      </c>
      <c r="V3">
        <v>18.43</v>
      </c>
      <c r="W3" s="3">
        <f t="shared" ref="W3:W23" si="0">G3/S3</f>
        <v>20.219424460431654</v>
      </c>
      <c r="X3" s="3">
        <f t="shared" ref="X3:X19" si="1">H3/T3</f>
        <v>12.952218430034129</v>
      </c>
      <c r="Y3" s="3">
        <f t="shared" ref="Y3:Y23" si="2">I3/U3</f>
        <v>16.837320574162678</v>
      </c>
    </row>
    <row r="4" spans="1:25" x14ac:dyDescent="0.25">
      <c r="A4">
        <v>123</v>
      </c>
      <c r="B4">
        <v>2212.1</v>
      </c>
      <c r="C4">
        <v>79041</v>
      </c>
      <c r="D4">
        <v>62988</v>
      </c>
      <c r="E4">
        <v>9627</v>
      </c>
      <c r="F4">
        <v>6426</v>
      </c>
      <c r="G4">
        <v>988.2</v>
      </c>
      <c r="H4">
        <v>745.2</v>
      </c>
      <c r="I4">
        <v>478.7</v>
      </c>
      <c r="J4">
        <v>7.8</v>
      </c>
      <c r="K4" s="1">
        <v>0.91300000000000003</v>
      </c>
      <c r="L4" s="1">
        <v>4.4999999999999998E-2</v>
      </c>
      <c r="M4">
        <v>85750.399999999994</v>
      </c>
      <c r="N4" s="2">
        <v>1006.8</v>
      </c>
      <c r="O4">
        <v>956</v>
      </c>
      <c r="P4">
        <v>634.9</v>
      </c>
      <c r="Q4">
        <v>5829</v>
      </c>
      <c r="R4">
        <v>5470.2</v>
      </c>
      <c r="S4">
        <v>64.099999999999994</v>
      </c>
      <c r="T4">
        <v>60.9</v>
      </c>
      <c r="U4">
        <v>41.2</v>
      </c>
      <c r="V4">
        <v>14.45</v>
      </c>
      <c r="W4" s="3">
        <f t="shared" si="0"/>
        <v>15.416536661466461</v>
      </c>
      <c r="X4" s="3">
        <f t="shared" si="1"/>
        <v>12.236453201970445</v>
      </c>
      <c r="Y4" s="3">
        <f t="shared" si="2"/>
        <v>11.61893203883495</v>
      </c>
    </row>
    <row r="5" spans="1:25" x14ac:dyDescent="0.25">
      <c r="A5">
        <v>3</v>
      </c>
      <c r="B5">
        <v>2323.1999999999998</v>
      </c>
      <c r="C5">
        <v>95666</v>
      </c>
      <c r="D5">
        <v>82837</v>
      </c>
      <c r="E5">
        <v>8078</v>
      </c>
      <c r="F5">
        <v>4751</v>
      </c>
      <c r="G5">
        <v>1316.6</v>
      </c>
      <c r="H5">
        <v>648.9</v>
      </c>
      <c r="I5">
        <v>357.7</v>
      </c>
      <c r="J5">
        <v>8.6999999999999993</v>
      </c>
      <c r="K5" s="1">
        <v>0.86599999999999999</v>
      </c>
      <c r="L5" s="1">
        <v>4.7E-2</v>
      </c>
      <c r="M5">
        <v>57485.4</v>
      </c>
      <c r="N5">
        <v>712.2</v>
      </c>
      <c r="O5">
        <v>651.70000000000005</v>
      </c>
      <c r="P5">
        <v>245.1</v>
      </c>
      <c r="Q5">
        <v>9852</v>
      </c>
      <c r="R5">
        <v>4841.7</v>
      </c>
      <c r="S5">
        <v>60</v>
      </c>
      <c r="T5">
        <v>55</v>
      </c>
      <c r="U5">
        <v>20.399999999999999</v>
      </c>
      <c r="V5">
        <v>19.760000000000002</v>
      </c>
      <c r="W5" s="3">
        <f t="shared" si="0"/>
        <v>21.943333333333332</v>
      </c>
      <c r="X5" s="3">
        <f t="shared" si="1"/>
        <v>11.798181818181817</v>
      </c>
      <c r="Y5" s="3">
        <f t="shared" si="2"/>
        <v>17.534313725490197</v>
      </c>
    </row>
    <row r="6" spans="1:25" x14ac:dyDescent="0.25">
      <c r="A6">
        <v>50</v>
      </c>
      <c r="B6">
        <v>288.10000000000002</v>
      </c>
      <c r="C6">
        <v>9298</v>
      </c>
      <c r="D6">
        <v>8040</v>
      </c>
      <c r="E6">
        <v>1258</v>
      </c>
      <c r="F6">
        <v>0</v>
      </c>
      <c r="G6">
        <v>160.5</v>
      </c>
      <c r="H6">
        <v>127.6</v>
      </c>
      <c r="I6">
        <v>0</v>
      </c>
      <c r="J6">
        <v>3</v>
      </c>
      <c r="K6" s="1">
        <v>0.85699999999999998</v>
      </c>
      <c r="L6" s="1">
        <v>3.3000000000000002E-2</v>
      </c>
      <c r="M6">
        <v>13095.3</v>
      </c>
      <c r="N6">
        <v>174.3</v>
      </c>
      <c r="O6">
        <v>149.4</v>
      </c>
      <c r="P6">
        <v>0</v>
      </c>
      <c r="Q6">
        <v>4208</v>
      </c>
      <c r="R6">
        <v>1036.0999999999999</v>
      </c>
      <c r="S6">
        <v>13.8</v>
      </c>
      <c r="T6">
        <v>11.9</v>
      </c>
      <c r="U6">
        <v>0</v>
      </c>
      <c r="V6">
        <v>8.9700000000000006</v>
      </c>
      <c r="W6" s="3">
        <f t="shared" si="0"/>
        <v>11.630434782608695</v>
      </c>
      <c r="X6" s="3">
        <f t="shared" si="1"/>
        <v>10.722689075630251</v>
      </c>
      <c r="Y6" s="3">
        <v>0</v>
      </c>
    </row>
    <row r="7" spans="1:25" x14ac:dyDescent="0.25">
      <c r="A7">
        <v>225</v>
      </c>
      <c r="B7">
        <v>1546.8</v>
      </c>
      <c r="C7">
        <v>61006</v>
      </c>
      <c r="D7">
        <v>51588</v>
      </c>
      <c r="E7">
        <v>5958</v>
      </c>
      <c r="F7">
        <v>3460</v>
      </c>
      <c r="G7">
        <v>819</v>
      </c>
      <c r="H7">
        <v>463.5</v>
      </c>
      <c r="I7">
        <v>264.39999999999998</v>
      </c>
      <c r="J7">
        <v>8.4</v>
      </c>
      <c r="K7" s="1">
        <v>0.80500000000000005</v>
      </c>
      <c r="L7" s="1">
        <v>0.157</v>
      </c>
      <c r="M7">
        <v>90146.3</v>
      </c>
      <c r="N7" s="2">
        <v>1099.5999999999999</v>
      </c>
      <c r="O7">
        <v>873.3</v>
      </c>
      <c r="P7">
        <v>601.4</v>
      </c>
      <c r="Q7">
        <v>5541</v>
      </c>
      <c r="R7">
        <v>4970</v>
      </c>
      <c r="S7">
        <v>62.2</v>
      </c>
      <c r="T7">
        <v>45.3</v>
      </c>
      <c r="U7">
        <v>28.7</v>
      </c>
      <c r="V7">
        <v>12.27</v>
      </c>
      <c r="W7" s="3">
        <f t="shared" si="0"/>
        <v>13.167202572347266</v>
      </c>
      <c r="X7" s="3">
        <f t="shared" si="1"/>
        <v>10.231788079470199</v>
      </c>
      <c r="Y7" s="3">
        <f t="shared" si="2"/>
        <v>9.2125435540069684</v>
      </c>
    </row>
    <row r="8" spans="1:25" x14ac:dyDescent="0.25">
      <c r="A8">
        <v>42</v>
      </c>
      <c r="B8">
        <v>769.9</v>
      </c>
      <c r="C8">
        <v>36360</v>
      </c>
      <c r="D8">
        <v>33416</v>
      </c>
      <c r="E8">
        <v>2944</v>
      </c>
      <c r="F8">
        <v>0</v>
      </c>
      <c r="G8">
        <v>533.20000000000005</v>
      </c>
      <c r="H8">
        <v>237</v>
      </c>
      <c r="I8">
        <v>0</v>
      </c>
      <c r="J8">
        <v>12.8</v>
      </c>
      <c r="K8" s="1">
        <v>0.90800000000000003</v>
      </c>
      <c r="L8" s="1">
        <v>1.6E-2</v>
      </c>
      <c r="M8">
        <v>31359.3</v>
      </c>
      <c r="N8">
        <v>421.5</v>
      </c>
      <c r="O8">
        <v>337.1</v>
      </c>
      <c r="P8">
        <v>0</v>
      </c>
      <c r="Q8">
        <v>4464</v>
      </c>
      <c r="R8">
        <v>2197.1999999999998</v>
      </c>
      <c r="S8">
        <v>29.5</v>
      </c>
      <c r="T8">
        <v>23.7</v>
      </c>
      <c r="U8">
        <v>0</v>
      </c>
      <c r="V8">
        <v>16.55</v>
      </c>
      <c r="W8" s="3">
        <f t="shared" si="0"/>
        <v>18.074576271186441</v>
      </c>
      <c r="X8" s="3">
        <f t="shared" si="1"/>
        <v>10</v>
      </c>
      <c r="Y8" s="3">
        <v>0</v>
      </c>
    </row>
    <row r="9" spans="1:25" x14ac:dyDescent="0.25">
      <c r="A9">
        <v>65</v>
      </c>
      <c r="B9">
        <v>985</v>
      </c>
      <c r="C9">
        <v>49033</v>
      </c>
      <c r="D9">
        <v>46080</v>
      </c>
      <c r="E9">
        <v>2953</v>
      </c>
      <c r="F9">
        <v>0</v>
      </c>
      <c r="G9">
        <v>742.8</v>
      </c>
      <c r="H9">
        <v>242.2</v>
      </c>
      <c r="I9">
        <v>0</v>
      </c>
      <c r="J9">
        <v>5.9</v>
      </c>
      <c r="K9" s="1">
        <v>0.78100000000000003</v>
      </c>
      <c r="L9" s="1">
        <v>0.184</v>
      </c>
      <c r="M9">
        <v>36456.400000000001</v>
      </c>
      <c r="N9">
        <v>494.2</v>
      </c>
      <c r="O9">
        <v>371.2</v>
      </c>
      <c r="P9">
        <v>0</v>
      </c>
      <c r="Q9">
        <v>4720</v>
      </c>
      <c r="R9">
        <v>2515.1</v>
      </c>
      <c r="S9">
        <v>34.200000000000003</v>
      </c>
      <c r="T9">
        <v>25.2</v>
      </c>
      <c r="U9">
        <v>0</v>
      </c>
      <c r="V9">
        <v>19.5</v>
      </c>
      <c r="W9" s="3">
        <f t="shared" si="0"/>
        <v>21.719298245614031</v>
      </c>
      <c r="X9" s="3">
        <f t="shared" si="1"/>
        <v>9.6111111111111107</v>
      </c>
      <c r="Y9" s="3">
        <v>0</v>
      </c>
    </row>
    <row r="10" spans="1:25" x14ac:dyDescent="0.25">
      <c r="A10">
        <v>47</v>
      </c>
      <c r="B10">
        <v>1661.3</v>
      </c>
      <c r="C10">
        <v>62367</v>
      </c>
      <c r="D10">
        <v>51366</v>
      </c>
      <c r="E10">
        <v>6002</v>
      </c>
      <c r="F10">
        <v>4999</v>
      </c>
      <c r="G10">
        <v>818.9</v>
      </c>
      <c r="H10">
        <v>473.3</v>
      </c>
      <c r="I10">
        <v>369.1</v>
      </c>
      <c r="J10">
        <v>5.5</v>
      </c>
      <c r="K10" s="1">
        <v>0.81699999999999995</v>
      </c>
      <c r="L10" s="1">
        <v>0.126</v>
      </c>
      <c r="M10">
        <v>76634.5</v>
      </c>
      <c r="N10">
        <v>892</v>
      </c>
      <c r="O10">
        <v>832</v>
      </c>
      <c r="P10">
        <v>623.70000000000005</v>
      </c>
      <c r="Q10">
        <v>5157</v>
      </c>
      <c r="R10">
        <v>4892.3999999999996</v>
      </c>
      <c r="S10">
        <v>56.7</v>
      </c>
      <c r="T10">
        <v>52.9</v>
      </c>
      <c r="U10">
        <v>41</v>
      </c>
      <c r="V10">
        <v>12.75</v>
      </c>
      <c r="W10" s="3">
        <f t="shared" si="0"/>
        <v>14.442680776014107</v>
      </c>
      <c r="X10" s="3">
        <f t="shared" si="1"/>
        <v>8.9470699432892253</v>
      </c>
      <c r="Y10" s="3">
        <f t="shared" si="2"/>
        <v>9.0024390243902452</v>
      </c>
    </row>
    <row r="11" spans="1:25" x14ac:dyDescent="0.25">
      <c r="A11">
        <v>64</v>
      </c>
      <c r="B11">
        <v>796.8</v>
      </c>
      <c r="C11">
        <v>26677</v>
      </c>
      <c r="D11">
        <v>21894</v>
      </c>
      <c r="E11">
        <v>2616</v>
      </c>
      <c r="F11">
        <v>2167</v>
      </c>
      <c r="G11">
        <v>374</v>
      </c>
      <c r="H11">
        <v>249.4</v>
      </c>
      <c r="I11">
        <v>173.5</v>
      </c>
      <c r="J11">
        <v>3.3</v>
      </c>
      <c r="K11" s="1">
        <v>0.81599999999999995</v>
      </c>
      <c r="L11" s="1">
        <v>0.14699999999999999</v>
      </c>
      <c r="M11">
        <v>33283.199999999997</v>
      </c>
      <c r="N11">
        <v>389.8</v>
      </c>
      <c r="O11">
        <v>365.7</v>
      </c>
      <c r="P11">
        <v>256</v>
      </c>
      <c r="Q11">
        <v>5465</v>
      </c>
      <c r="R11">
        <v>2449.9</v>
      </c>
      <c r="S11">
        <v>27.9</v>
      </c>
      <c r="T11">
        <v>29.1</v>
      </c>
      <c r="U11">
        <v>20.3</v>
      </c>
      <c r="V11">
        <v>10.89</v>
      </c>
      <c r="W11" s="3">
        <f t="shared" si="0"/>
        <v>13.405017921146953</v>
      </c>
      <c r="X11" s="3">
        <f t="shared" si="1"/>
        <v>8.5704467353951888</v>
      </c>
      <c r="Y11" s="3">
        <f t="shared" si="2"/>
        <v>8.5467980295566495</v>
      </c>
    </row>
    <row r="12" spans="1:25" x14ac:dyDescent="0.25">
      <c r="A12">
        <v>26</v>
      </c>
      <c r="B12">
        <v>610.5</v>
      </c>
      <c r="C12">
        <v>26333</v>
      </c>
      <c r="D12">
        <v>24153</v>
      </c>
      <c r="E12">
        <v>2180</v>
      </c>
      <c r="F12">
        <v>0</v>
      </c>
      <c r="G12">
        <v>408.8</v>
      </c>
      <c r="H12">
        <v>201.7</v>
      </c>
      <c r="I12">
        <v>0</v>
      </c>
      <c r="J12">
        <v>4.4000000000000004</v>
      </c>
      <c r="K12" s="1">
        <v>0.93400000000000005</v>
      </c>
      <c r="L12" s="1">
        <v>3.2000000000000001E-2</v>
      </c>
      <c r="M12">
        <v>40771.1</v>
      </c>
      <c r="N12">
        <v>548.70000000000005</v>
      </c>
      <c r="O12">
        <v>435.1</v>
      </c>
      <c r="P12">
        <v>0</v>
      </c>
      <c r="Q12">
        <v>6825</v>
      </c>
      <c r="R12">
        <v>2577.8000000000002</v>
      </c>
      <c r="S12">
        <v>35.4</v>
      </c>
      <c r="T12">
        <v>23.8</v>
      </c>
      <c r="U12">
        <v>0</v>
      </c>
      <c r="V12">
        <v>10.220000000000001</v>
      </c>
      <c r="W12" s="3">
        <f t="shared" si="0"/>
        <v>11.548022598870057</v>
      </c>
      <c r="X12" s="3">
        <f t="shared" si="1"/>
        <v>8.4747899159663866</v>
      </c>
      <c r="Y12" s="3">
        <v>0</v>
      </c>
    </row>
    <row r="13" spans="1:25" x14ac:dyDescent="0.25">
      <c r="A13">
        <v>20</v>
      </c>
      <c r="B13">
        <v>551</v>
      </c>
      <c r="C13">
        <v>24627</v>
      </c>
      <c r="D13">
        <v>22544</v>
      </c>
      <c r="E13">
        <v>2083</v>
      </c>
      <c r="F13">
        <v>0</v>
      </c>
      <c r="G13">
        <v>369</v>
      </c>
      <c r="H13">
        <v>182</v>
      </c>
      <c r="I13">
        <v>0</v>
      </c>
      <c r="J13">
        <v>3.6</v>
      </c>
      <c r="K13" s="1">
        <v>0.873</v>
      </c>
      <c r="L13" s="1">
        <v>7.3999999999999996E-2</v>
      </c>
      <c r="M13">
        <v>33317.9</v>
      </c>
      <c r="N13">
        <v>443.5</v>
      </c>
      <c r="O13">
        <v>379.7</v>
      </c>
      <c r="P13">
        <v>0</v>
      </c>
      <c r="Q13">
        <v>4811</v>
      </c>
      <c r="R13">
        <v>1993.7</v>
      </c>
      <c r="S13">
        <v>26.7</v>
      </c>
      <c r="T13">
        <v>22.1</v>
      </c>
      <c r="U13">
        <v>0</v>
      </c>
      <c r="V13">
        <v>12.35</v>
      </c>
      <c r="W13" s="3">
        <f t="shared" si="0"/>
        <v>13.820224719101123</v>
      </c>
      <c r="X13" s="3">
        <f t="shared" si="1"/>
        <v>8.235294117647058</v>
      </c>
      <c r="Y13" s="3">
        <v>0</v>
      </c>
    </row>
    <row r="14" spans="1:25" x14ac:dyDescent="0.25">
      <c r="A14">
        <v>67</v>
      </c>
      <c r="B14">
        <v>812.5</v>
      </c>
      <c r="C14">
        <v>37077</v>
      </c>
      <c r="D14">
        <v>33752</v>
      </c>
      <c r="E14">
        <v>3325</v>
      </c>
      <c r="F14">
        <v>0</v>
      </c>
      <c r="G14">
        <v>543.6</v>
      </c>
      <c r="H14">
        <v>269</v>
      </c>
      <c r="I14">
        <v>0</v>
      </c>
      <c r="J14">
        <v>5.9</v>
      </c>
      <c r="K14" s="1">
        <v>0.76200000000000001</v>
      </c>
      <c r="L14" s="1">
        <v>0.21</v>
      </c>
      <c r="M14">
        <v>54674</v>
      </c>
      <c r="N14">
        <v>734.9</v>
      </c>
      <c r="O14">
        <v>587.70000000000005</v>
      </c>
      <c r="P14">
        <v>0</v>
      </c>
      <c r="Q14">
        <v>4656</v>
      </c>
      <c r="R14">
        <v>2894.9</v>
      </c>
      <c r="S14">
        <v>38.4</v>
      </c>
      <c r="T14">
        <v>33.4</v>
      </c>
      <c r="U14">
        <v>0</v>
      </c>
      <c r="V14">
        <v>12.81</v>
      </c>
      <c r="W14" s="3">
        <f t="shared" si="0"/>
        <v>14.156250000000002</v>
      </c>
      <c r="X14" s="3">
        <f t="shared" si="1"/>
        <v>8.0538922155688635</v>
      </c>
      <c r="Y14" s="3">
        <v>0</v>
      </c>
    </row>
    <row r="15" spans="1:25" x14ac:dyDescent="0.25">
      <c r="A15">
        <v>25</v>
      </c>
      <c r="B15">
        <v>265.8</v>
      </c>
      <c r="C15">
        <v>11771</v>
      </c>
      <c r="D15">
        <v>10637</v>
      </c>
      <c r="E15">
        <v>1134</v>
      </c>
      <c r="F15">
        <v>0</v>
      </c>
      <c r="G15">
        <v>170.6</v>
      </c>
      <c r="H15">
        <v>95.2</v>
      </c>
      <c r="I15">
        <v>0</v>
      </c>
      <c r="J15">
        <v>3.1</v>
      </c>
      <c r="K15" s="1">
        <v>0.89200000000000002</v>
      </c>
      <c r="L15" s="1">
        <v>4.8000000000000001E-2</v>
      </c>
      <c r="M15">
        <v>15525.3</v>
      </c>
      <c r="N15">
        <v>206.4</v>
      </c>
      <c r="O15">
        <v>178</v>
      </c>
      <c r="P15">
        <v>0</v>
      </c>
      <c r="Q15">
        <v>2182</v>
      </c>
      <c r="R15">
        <v>1068.2</v>
      </c>
      <c r="S15">
        <v>14.2</v>
      </c>
      <c r="T15">
        <v>12.3</v>
      </c>
      <c r="U15">
        <v>0</v>
      </c>
      <c r="V15">
        <v>11.02</v>
      </c>
      <c r="W15" s="3">
        <f t="shared" si="0"/>
        <v>12.014084507042254</v>
      </c>
      <c r="X15" s="3">
        <f t="shared" si="1"/>
        <v>7.7398373983739832</v>
      </c>
      <c r="Y15" s="3">
        <v>0</v>
      </c>
    </row>
    <row r="16" spans="1:25" x14ac:dyDescent="0.25">
      <c r="A16">
        <v>48</v>
      </c>
      <c r="B16">
        <v>554.5</v>
      </c>
      <c r="C16">
        <v>24844</v>
      </c>
      <c r="D16">
        <v>22674</v>
      </c>
      <c r="E16">
        <v>2170</v>
      </c>
      <c r="F16">
        <v>0</v>
      </c>
      <c r="G16">
        <v>371.9</v>
      </c>
      <c r="H16">
        <v>182.6</v>
      </c>
      <c r="I16">
        <v>0</v>
      </c>
      <c r="J16">
        <v>4.4000000000000004</v>
      </c>
      <c r="K16" s="1">
        <v>0.89600000000000002</v>
      </c>
      <c r="L16" s="1">
        <v>5.3999999999999999E-2</v>
      </c>
      <c r="M16">
        <v>35866.699999999997</v>
      </c>
      <c r="N16">
        <v>482.1</v>
      </c>
      <c r="O16">
        <v>385.6</v>
      </c>
      <c r="P16">
        <v>0</v>
      </c>
      <c r="Q16">
        <v>4464</v>
      </c>
      <c r="R16">
        <v>2338</v>
      </c>
      <c r="S16">
        <v>31.5</v>
      </c>
      <c r="T16">
        <v>24.6</v>
      </c>
      <c r="U16">
        <v>0</v>
      </c>
      <c r="V16">
        <v>10.63</v>
      </c>
      <c r="W16" s="3">
        <f t="shared" si="0"/>
        <v>11.806349206349205</v>
      </c>
      <c r="X16" s="3">
        <f t="shared" si="1"/>
        <v>7.4227642276422756</v>
      </c>
      <c r="Y16" s="3">
        <v>0</v>
      </c>
    </row>
    <row r="17" spans="1:25" x14ac:dyDescent="0.25">
      <c r="A17">
        <v>10</v>
      </c>
      <c r="B17">
        <v>207.9</v>
      </c>
      <c r="C17">
        <v>6002</v>
      </c>
      <c r="D17">
        <v>5369</v>
      </c>
      <c r="E17">
        <v>633</v>
      </c>
      <c r="F17">
        <v>0</v>
      </c>
      <c r="G17">
        <v>122.4</v>
      </c>
      <c r="H17">
        <v>85.5</v>
      </c>
      <c r="I17">
        <v>0</v>
      </c>
      <c r="J17">
        <v>2</v>
      </c>
      <c r="K17" s="1">
        <v>0.86299999999999999</v>
      </c>
      <c r="L17" s="1">
        <v>0.09</v>
      </c>
      <c r="M17" s="2">
        <v>28668.6</v>
      </c>
      <c r="N17">
        <v>379.4</v>
      </c>
      <c r="O17">
        <v>337.4</v>
      </c>
      <c r="P17">
        <v>0</v>
      </c>
      <c r="Q17">
        <v>4157</v>
      </c>
      <c r="R17">
        <v>1410.9</v>
      </c>
      <c r="S17">
        <v>18.600000000000001</v>
      </c>
      <c r="T17">
        <v>17.100000000000001</v>
      </c>
      <c r="U17">
        <v>0</v>
      </c>
      <c r="V17">
        <v>4.25</v>
      </c>
      <c r="W17" s="3">
        <f t="shared" si="0"/>
        <v>6.5806451612903221</v>
      </c>
      <c r="X17" s="3">
        <f t="shared" si="1"/>
        <v>5</v>
      </c>
      <c r="Y17" s="3">
        <v>0</v>
      </c>
    </row>
    <row r="18" spans="1:25" x14ac:dyDescent="0.25">
      <c r="A18">
        <v>240</v>
      </c>
      <c r="B18">
        <v>127.9</v>
      </c>
      <c r="C18">
        <v>4374</v>
      </c>
      <c r="D18">
        <v>3905</v>
      </c>
      <c r="E18">
        <v>469</v>
      </c>
      <c r="F18">
        <v>0</v>
      </c>
      <c r="G18">
        <v>74.099999999999994</v>
      </c>
      <c r="H18">
        <v>53.8</v>
      </c>
      <c r="I18">
        <v>0</v>
      </c>
      <c r="J18">
        <v>2.1</v>
      </c>
      <c r="K18" s="1">
        <v>0.88200000000000001</v>
      </c>
      <c r="L18" s="1">
        <v>2.1999999999999999E-2</v>
      </c>
      <c r="M18">
        <v>25133.8</v>
      </c>
      <c r="N18">
        <v>330.4</v>
      </c>
      <c r="O18">
        <v>306.7</v>
      </c>
      <c r="P18">
        <v>0</v>
      </c>
      <c r="Q18">
        <v>2130</v>
      </c>
      <c r="R18">
        <v>1041.0999999999999</v>
      </c>
      <c r="S18">
        <v>13.8</v>
      </c>
      <c r="T18">
        <v>12.1</v>
      </c>
      <c r="U18">
        <v>0</v>
      </c>
      <c r="V18" s="3">
        <f>C18/R18</f>
        <v>4.2013255210834695</v>
      </c>
      <c r="W18" s="3">
        <f t="shared" si="0"/>
        <v>5.3695652173913038</v>
      </c>
      <c r="X18" s="3">
        <f t="shared" si="1"/>
        <v>4.446280991735537</v>
      </c>
      <c r="Y18" s="3">
        <v>0</v>
      </c>
    </row>
    <row r="19" spans="1:25" x14ac:dyDescent="0.25">
      <c r="A19">
        <v>170</v>
      </c>
      <c r="B19">
        <v>235.9</v>
      </c>
      <c r="C19">
        <v>8640</v>
      </c>
      <c r="D19">
        <v>8205</v>
      </c>
      <c r="E19">
        <v>435</v>
      </c>
      <c r="F19">
        <v>0</v>
      </c>
      <c r="G19">
        <v>198</v>
      </c>
      <c r="H19">
        <v>38</v>
      </c>
      <c r="I19">
        <v>0</v>
      </c>
      <c r="J19">
        <v>2.6</v>
      </c>
      <c r="K19" s="1">
        <v>0.84799999999999998</v>
      </c>
      <c r="L19" s="1">
        <v>8.7999999999999995E-2</v>
      </c>
      <c r="M19">
        <v>59128.1</v>
      </c>
      <c r="N19">
        <v>844.5</v>
      </c>
      <c r="O19">
        <v>390.7</v>
      </c>
      <c r="P19">
        <v>0</v>
      </c>
      <c r="Q19">
        <v>1820</v>
      </c>
      <c r="R19">
        <v>1769.3</v>
      </c>
      <c r="S19">
        <v>25.3</v>
      </c>
      <c r="T19">
        <v>11.7</v>
      </c>
      <c r="U19">
        <v>0</v>
      </c>
      <c r="V19">
        <v>4.88</v>
      </c>
      <c r="W19" s="3">
        <f t="shared" si="0"/>
        <v>7.8260869565217392</v>
      </c>
      <c r="X19" s="3">
        <f t="shared" si="1"/>
        <v>3.2478632478632479</v>
      </c>
      <c r="Y19" s="3">
        <v>0</v>
      </c>
    </row>
    <row r="20" spans="1:25" x14ac:dyDescent="0.25">
      <c r="A20">
        <v>68</v>
      </c>
      <c r="B20">
        <v>355.3</v>
      </c>
      <c r="C20">
        <v>20905</v>
      </c>
      <c r="D20">
        <v>20905</v>
      </c>
      <c r="E20">
        <v>0</v>
      </c>
      <c r="F20">
        <v>0</v>
      </c>
      <c r="G20">
        <v>355</v>
      </c>
      <c r="H20">
        <v>0</v>
      </c>
      <c r="I20">
        <v>0</v>
      </c>
      <c r="J20">
        <v>5.6</v>
      </c>
      <c r="K20" s="1">
        <v>0.82199999999999995</v>
      </c>
      <c r="L20" s="1">
        <v>0.124</v>
      </c>
      <c r="M20">
        <v>22836.6</v>
      </c>
      <c r="N20">
        <v>356.8</v>
      </c>
      <c r="O20">
        <v>0</v>
      </c>
      <c r="P20">
        <v>0</v>
      </c>
      <c r="Q20">
        <v>3648</v>
      </c>
      <c r="R20">
        <v>1330.2</v>
      </c>
      <c r="S20">
        <v>20.8</v>
      </c>
      <c r="T20">
        <v>0</v>
      </c>
      <c r="U20">
        <v>0</v>
      </c>
      <c r="V20">
        <v>15.72</v>
      </c>
      <c r="W20" s="3">
        <f t="shared" si="0"/>
        <v>17.067307692307693</v>
      </c>
      <c r="X20" s="3">
        <v>0</v>
      </c>
      <c r="Y20" s="3">
        <v>0</v>
      </c>
    </row>
    <row r="21" spans="1:25" x14ac:dyDescent="0.25">
      <c r="A21">
        <v>41</v>
      </c>
      <c r="B21">
        <v>162</v>
      </c>
      <c r="C21">
        <v>9626</v>
      </c>
      <c r="D21">
        <v>9626</v>
      </c>
      <c r="E21">
        <v>0</v>
      </c>
      <c r="F21">
        <v>0</v>
      </c>
      <c r="G21">
        <v>162</v>
      </c>
      <c r="H21">
        <v>0</v>
      </c>
      <c r="I21">
        <v>0</v>
      </c>
      <c r="J21">
        <v>15.7</v>
      </c>
      <c r="K21" s="1">
        <v>0.92200000000000004</v>
      </c>
      <c r="L21" s="1">
        <v>2.7E-2</v>
      </c>
      <c r="M21">
        <v>14079.1</v>
      </c>
      <c r="N21">
        <v>220</v>
      </c>
      <c r="O21">
        <v>0</v>
      </c>
      <c r="P21">
        <v>0</v>
      </c>
      <c r="Q21">
        <v>1792</v>
      </c>
      <c r="R21">
        <v>884</v>
      </c>
      <c r="S21">
        <v>13.8</v>
      </c>
      <c r="T21">
        <v>0</v>
      </c>
      <c r="U21">
        <v>0</v>
      </c>
      <c r="V21">
        <v>10.89</v>
      </c>
      <c r="W21" s="3">
        <f t="shared" si="0"/>
        <v>11.739130434782608</v>
      </c>
      <c r="X21" s="3">
        <v>0</v>
      </c>
      <c r="Y21" s="3">
        <v>0</v>
      </c>
    </row>
    <row r="22" spans="1:25" x14ac:dyDescent="0.25">
      <c r="A22">
        <v>2</v>
      </c>
      <c r="B22">
        <v>148.6</v>
      </c>
      <c r="C22">
        <v>7366</v>
      </c>
      <c r="D22">
        <v>7366</v>
      </c>
      <c r="E22">
        <v>0</v>
      </c>
      <c r="F22">
        <v>0</v>
      </c>
      <c r="G22">
        <v>148.6</v>
      </c>
      <c r="H22">
        <v>0</v>
      </c>
      <c r="I22">
        <v>0</v>
      </c>
      <c r="J22">
        <v>1</v>
      </c>
      <c r="K22" s="1">
        <v>0.81799999999999995</v>
      </c>
      <c r="L22" s="1">
        <v>3.5999999999999997E-2</v>
      </c>
      <c r="M22">
        <v>49343.1</v>
      </c>
      <c r="N22">
        <v>771</v>
      </c>
      <c r="O22">
        <v>0</v>
      </c>
      <c r="P22">
        <v>0</v>
      </c>
      <c r="Q22">
        <v>3840</v>
      </c>
      <c r="R22">
        <v>1900.2</v>
      </c>
      <c r="S22">
        <v>29.7</v>
      </c>
      <c r="T22">
        <v>0</v>
      </c>
      <c r="U22">
        <v>0</v>
      </c>
      <c r="V22">
        <v>3.88</v>
      </c>
      <c r="W22" s="3">
        <f t="shared" si="0"/>
        <v>5.0033670033670035</v>
      </c>
      <c r="X22" s="3">
        <v>0</v>
      </c>
      <c r="Y22" s="3">
        <v>0</v>
      </c>
    </row>
    <row r="23" spans="1:25" x14ac:dyDescent="0.25">
      <c r="A23">
        <v>27</v>
      </c>
      <c r="B23">
        <v>65.099999999999994</v>
      </c>
      <c r="C23">
        <v>1174</v>
      </c>
      <c r="D23">
        <v>1174</v>
      </c>
      <c r="E23">
        <v>0</v>
      </c>
      <c r="F23">
        <v>0</v>
      </c>
      <c r="G23">
        <v>65.099999999999994</v>
      </c>
      <c r="H23">
        <v>0</v>
      </c>
      <c r="I23">
        <v>0</v>
      </c>
      <c r="J23">
        <v>0.2</v>
      </c>
      <c r="K23" s="1">
        <v>0.80400000000000005</v>
      </c>
      <c r="L23" s="1">
        <v>8.5000000000000006E-2</v>
      </c>
      <c r="M23">
        <v>25229.9</v>
      </c>
      <c r="N23">
        <v>394.2</v>
      </c>
      <c r="O23">
        <v>0</v>
      </c>
      <c r="P23">
        <v>0</v>
      </c>
      <c r="Q23">
        <v>3072</v>
      </c>
      <c r="R23">
        <v>1028</v>
      </c>
      <c r="S23">
        <v>16.100000000000001</v>
      </c>
      <c r="T23">
        <v>0</v>
      </c>
      <c r="U23">
        <v>0</v>
      </c>
      <c r="V23">
        <v>1.1399999999999999</v>
      </c>
      <c r="W23" s="3">
        <f t="shared" si="0"/>
        <v>4.0434782608695645</v>
      </c>
      <c r="X23" s="3">
        <v>0</v>
      </c>
      <c r="Y23" s="3">
        <v>0</v>
      </c>
    </row>
  </sheetData>
  <sortState xmlns:xlrd2="http://schemas.microsoft.com/office/spreadsheetml/2017/richdata2" ref="A2:Y32">
    <sortCondition descending="1" ref="X1:X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 System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Sepideh Azizi</dc:creator>
  <cp:lastModifiedBy>Sepideh Azizi</cp:lastModifiedBy>
  <dcterms:created xsi:type="dcterms:W3CDTF">2026-07-28T17:52:38Z</dcterms:created>
  <dcterms:modified xsi:type="dcterms:W3CDTF">2026-07-29T17:25:48Z</dcterms:modified>
</cp:coreProperties>
</file>